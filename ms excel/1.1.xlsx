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isdb\cf\ms excel\"/>
    </mc:Choice>
  </mc:AlternateContent>
  <xr:revisionPtr revIDLastSave="0" documentId="13_ncr:1_{28795084-4FED-417A-96BF-757F22B7B0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1" l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7" i="1"/>
  <c r="T12" i="1"/>
  <c r="T13" i="1"/>
  <c r="T14" i="1"/>
  <c r="T15" i="1"/>
  <c r="T16" i="1"/>
  <c r="T17" i="1"/>
  <c r="T18" i="1"/>
  <c r="T19" i="1"/>
  <c r="T20" i="1"/>
  <c r="T21" i="1"/>
  <c r="T7" i="1"/>
  <c r="T8" i="1"/>
  <c r="T9" i="1"/>
  <c r="T10" i="1"/>
  <c r="T11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7" i="1"/>
  <c r="S22" i="1"/>
</calcChain>
</file>

<file path=xl/sharedStrings.xml><?xml version="1.0" encoding="utf-8"?>
<sst xmlns="http://schemas.openxmlformats.org/spreadsheetml/2006/main" count="38" uniqueCount="28">
  <si>
    <t>region</t>
  </si>
  <si>
    <t>s1</t>
  </si>
  <si>
    <t>east</t>
  </si>
  <si>
    <t>west</t>
  </si>
  <si>
    <t>sl</t>
  </si>
  <si>
    <t>south</t>
  </si>
  <si>
    <t>north</t>
  </si>
  <si>
    <t>Saturday</t>
  </si>
  <si>
    <t>Sunday</t>
  </si>
  <si>
    <t>Monday</t>
  </si>
  <si>
    <t>Tuesday</t>
  </si>
  <si>
    <t>Wednesday</t>
  </si>
  <si>
    <t>Thursday</t>
  </si>
  <si>
    <t>Friday</t>
  </si>
  <si>
    <t>name</t>
  </si>
  <si>
    <t>inc</t>
  </si>
  <si>
    <t>cost</t>
  </si>
  <si>
    <t>net income</t>
  </si>
  <si>
    <t>gigi</t>
  </si>
  <si>
    <t>jak</t>
  </si>
  <si>
    <t>subs</t>
  </si>
  <si>
    <t>eve</t>
  </si>
  <si>
    <t>ase</t>
  </si>
  <si>
    <t>max</t>
  </si>
  <si>
    <t>Avarage</t>
  </si>
  <si>
    <t>min</t>
  </si>
  <si>
    <t xml:space="preserve">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</si>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</sst>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textRotation="45"/>
    </xf>
    <xf numFmtId="0" fontId="1" fillId="2" borderId="0" xfId="0" applyFont="1" applyFill="1" applyAlignment="1">
      <alignment textRotation="45"/>
    </xf>
    <xf numFmtId="0" fontId="3" fillId="3" borderId="0" xfId="0" applyFont="1" applyFill="1" applyAlignment="1">
      <alignment textRotation="45"/>
    </xf>
    <xf numFmtId="0" fontId="1" fillId="2" borderId="0" xfId="0" applyFont="1" applyFill="1" applyAlignment="1">
      <alignment horizontal="center" vertical="center" textRotation="45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22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Sheet1!$O$5:$O$22</c:f>
              <c:numCache>
                <c:formatCode>General</c:formatCode>
                <c:ptCount val="1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A-41E4-B37E-0293ECC188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Sheet1!$P$5:$P$22</c:f>
              <c:numCache>
                <c:formatCode>General</c:formatCode>
                <c:ptCount val="1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A-41E4-B37E-0293ECC1887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Sheet1!$Q$5:$Q$22</c:f>
              <c:numCache>
                <c:formatCode>General</c:formatCode>
                <c:ptCount val="18"/>
                <c:pt idx="0">
                  <c:v>3</c:v>
                </c:pt>
                <c:pt idx="1">
                  <c:v>0</c:v>
                </c:pt>
                <c:pt idx="2">
                  <c:v>42343</c:v>
                </c:pt>
                <c:pt idx="3">
                  <c:v>23423</c:v>
                </c:pt>
                <c:pt idx="4">
                  <c:v>325432</c:v>
                </c:pt>
                <c:pt idx="5">
                  <c:v>342355</c:v>
                </c:pt>
                <c:pt idx="6">
                  <c:v>433432</c:v>
                </c:pt>
                <c:pt idx="7">
                  <c:v>324355</c:v>
                </c:pt>
                <c:pt idx="8">
                  <c:v>44322</c:v>
                </c:pt>
                <c:pt idx="9">
                  <c:v>234565</c:v>
                </c:pt>
                <c:pt idx="10">
                  <c:v>324453</c:v>
                </c:pt>
                <c:pt idx="11">
                  <c:v>53235</c:v>
                </c:pt>
                <c:pt idx="12">
                  <c:v>543532</c:v>
                </c:pt>
                <c:pt idx="13">
                  <c:v>324552</c:v>
                </c:pt>
                <c:pt idx="14">
                  <c:v>52324</c:v>
                </c:pt>
                <c:pt idx="15">
                  <c:v>342432</c:v>
                </c:pt>
                <c:pt idx="16">
                  <c:v>343254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EA-41E4-B37E-0293ECC1887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Sheet1!$S$5:$S$22</c:f>
              <c:numCache>
                <c:formatCode>General</c:formatCode>
                <c:ptCount val="18"/>
                <c:pt idx="0">
                  <c:v>4</c:v>
                </c:pt>
                <c:pt idx="1">
                  <c:v>0</c:v>
                </c:pt>
                <c:pt idx="2">
                  <c:v>3000</c:v>
                </c:pt>
                <c:pt idx="3">
                  <c:v>11000</c:v>
                </c:pt>
                <c:pt idx="4">
                  <c:v>11000</c:v>
                </c:pt>
                <c:pt idx="5">
                  <c:v>11000</c:v>
                </c:pt>
                <c:pt idx="6">
                  <c:v>11000</c:v>
                </c:pt>
                <c:pt idx="7">
                  <c:v>11000</c:v>
                </c:pt>
                <c:pt idx="8">
                  <c:v>11000</c:v>
                </c:pt>
                <c:pt idx="9">
                  <c:v>11000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11000</c:v>
                </c:pt>
                <c:pt idx="17">
                  <c:v>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EA-41E4-B37E-0293ECC1887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Sheet1!$T$5:$T$22</c:f>
              <c:numCache>
                <c:formatCode>General</c:formatCode>
                <c:ptCount val="18"/>
                <c:pt idx="0">
                  <c:v>5</c:v>
                </c:pt>
                <c:pt idx="1">
                  <c:v>0</c:v>
                </c:pt>
                <c:pt idx="2">
                  <c:v>127029000</c:v>
                </c:pt>
                <c:pt idx="3">
                  <c:v>257653000</c:v>
                </c:pt>
                <c:pt idx="4">
                  <c:v>3579752000</c:v>
                </c:pt>
                <c:pt idx="5">
                  <c:v>3765905000</c:v>
                </c:pt>
                <c:pt idx="6">
                  <c:v>4767752000</c:v>
                </c:pt>
                <c:pt idx="7">
                  <c:v>3567905000</c:v>
                </c:pt>
                <c:pt idx="8">
                  <c:v>487542000</c:v>
                </c:pt>
                <c:pt idx="9">
                  <c:v>2580215000</c:v>
                </c:pt>
                <c:pt idx="10">
                  <c:v>3568983000</c:v>
                </c:pt>
                <c:pt idx="11">
                  <c:v>585585000</c:v>
                </c:pt>
                <c:pt idx="12">
                  <c:v>5978852000</c:v>
                </c:pt>
                <c:pt idx="13">
                  <c:v>3570072000</c:v>
                </c:pt>
                <c:pt idx="14">
                  <c:v>575564000</c:v>
                </c:pt>
                <c:pt idx="15">
                  <c:v>3766752000</c:v>
                </c:pt>
                <c:pt idx="16">
                  <c:v>3775794000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EA-41E4-B37E-0293ECC1887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Sheet1!$U$5:$U$22</c:f>
              <c:numCache>
                <c:formatCode>General</c:formatCode>
                <c:ptCount val="18"/>
                <c:pt idx="0">
                  <c:v>6</c:v>
                </c:pt>
                <c:pt idx="1">
                  <c:v>0</c:v>
                </c:pt>
                <c:pt idx="2">
                  <c:v>42343</c:v>
                </c:pt>
                <c:pt idx="3">
                  <c:v>23423</c:v>
                </c:pt>
                <c:pt idx="4">
                  <c:v>325432</c:v>
                </c:pt>
                <c:pt idx="5">
                  <c:v>342355</c:v>
                </c:pt>
                <c:pt idx="6">
                  <c:v>433432</c:v>
                </c:pt>
                <c:pt idx="7">
                  <c:v>324355</c:v>
                </c:pt>
                <c:pt idx="8">
                  <c:v>44322</c:v>
                </c:pt>
                <c:pt idx="9">
                  <c:v>234565</c:v>
                </c:pt>
                <c:pt idx="10">
                  <c:v>324453</c:v>
                </c:pt>
                <c:pt idx="11">
                  <c:v>53235</c:v>
                </c:pt>
                <c:pt idx="12">
                  <c:v>543532</c:v>
                </c:pt>
                <c:pt idx="13">
                  <c:v>324552</c:v>
                </c:pt>
                <c:pt idx="14">
                  <c:v>52324</c:v>
                </c:pt>
                <c:pt idx="15">
                  <c:v>342432</c:v>
                </c:pt>
                <c:pt idx="16">
                  <c:v>343254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EA-41E4-B37E-0293ECC1887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Sheet1!$V$5:$V$22</c:f>
              <c:numCache>
                <c:formatCode>General</c:formatCode>
                <c:ptCount val="18"/>
                <c:pt idx="0">
                  <c:v>7</c:v>
                </c:pt>
                <c:pt idx="1">
                  <c:v>0</c:v>
                </c:pt>
                <c:pt idx="2">
                  <c:v>3000</c:v>
                </c:pt>
                <c:pt idx="3">
                  <c:v>11000</c:v>
                </c:pt>
                <c:pt idx="4">
                  <c:v>11000</c:v>
                </c:pt>
                <c:pt idx="5">
                  <c:v>11000</c:v>
                </c:pt>
                <c:pt idx="6">
                  <c:v>11000</c:v>
                </c:pt>
                <c:pt idx="7">
                  <c:v>11000</c:v>
                </c:pt>
                <c:pt idx="8">
                  <c:v>11000</c:v>
                </c:pt>
                <c:pt idx="9">
                  <c:v>11000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EA-41E4-B37E-0293ECC1887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Sheet1!$W$5:$W$22</c:f>
              <c:numCache>
                <c:formatCode>General</c:formatCode>
                <c:ptCount val="18"/>
                <c:pt idx="0">
                  <c:v>8</c:v>
                </c:pt>
                <c:pt idx="1">
                  <c:v>0</c:v>
                </c:pt>
                <c:pt idx="2">
                  <c:v>26671.5</c:v>
                </c:pt>
                <c:pt idx="3">
                  <c:v>17211.5</c:v>
                </c:pt>
                <c:pt idx="4">
                  <c:v>168216</c:v>
                </c:pt>
                <c:pt idx="5">
                  <c:v>176677.5</c:v>
                </c:pt>
                <c:pt idx="6">
                  <c:v>222216</c:v>
                </c:pt>
                <c:pt idx="7">
                  <c:v>167677.5</c:v>
                </c:pt>
                <c:pt idx="8">
                  <c:v>27661</c:v>
                </c:pt>
                <c:pt idx="9">
                  <c:v>122782.5</c:v>
                </c:pt>
                <c:pt idx="10">
                  <c:v>167726.5</c:v>
                </c:pt>
                <c:pt idx="11">
                  <c:v>32117.5</c:v>
                </c:pt>
                <c:pt idx="12">
                  <c:v>277266</c:v>
                </c:pt>
                <c:pt idx="13">
                  <c:v>167776</c:v>
                </c:pt>
                <c:pt idx="14">
                  <c:v>31662</c:v>
                </c:pt>
                <c:pt idx="15">
                  <c:v>176716</c:v>
                </c:pt>
                <c:pt idx="16">
                  <c:v>250127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EA-41E4-B37E-0293ECC1887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Sheet1!$X$5:$X$22</c:f>
              <c:numCache>
                <c:formatCode>General</c:formatCode>
                <c:ptCount val="18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EA-41E4-B37E-0293ECC1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3943872"/>
        <c:axId val="233944352"/>
        <c:axId val="0"/>
      </c:bar3DChart>
      <c:catAx>
        <c:axId val="23394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44352"/>
        <c:crosses val="autoZero"/>
        <c:auto val="1"/>
        <c:lblAlgn val="ctr"/>
        <c:lblOffset val="100"/>
        <c:noMultiLvlLbl val="0"/>
      </c:catAx>
      <c:valAx>
        <c:axId val="2339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4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400051</xdr:colOff>
      <xdr:row>1</xdr:row>
      <xdr:rowOff>100012</xdr:rowOff>
    </xdr:from>
    <xdr:to>
      <xdr:col>11</xdr:col>
      <xdr:colOff>583982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D73B9-23BC-EC97-E2F9-42155237F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Y22"/>
  <sheetViews>
    <sheetView tabSelected="1" topLeftCell="I25" workbookViewId="0">
      <selection activeCell="J31" sqref="J31"/>
    </sheetView>
  </sheetViews>
  <sheetFormatPr defaultRowHeight="15" x14ac:dyDescent="0.25"/>
  <cols>
    <col min="20" max="20" width="13.28515625" bestFit="1" customWidth="1"/>
    <col min="21" max="21" width="11" bestFit="1" customWidth="1"/>
    <col min="23" max="23" width="12" bestFit="1" customWidth="1"/>
  </cols>
  <sheetData>
    <row r="1" spans="5:25" x14ac:dyDescent="0.25">
      <c r="S1" s="6"/>
    </row>
    <row r="2" spans="5:25" x14ac:dyDescent="0.25">
      <c r="S2" s="6"/>
    </row>
    <row r="3" spans="5:25" x14ac:dyDescent="0.25">
      <c r="E3" t="s">
        <v>1</v>
      </c>
      <c r="F3" t="s">
        <v>0</v>
      </c>
      <c r="H3" t="s">
        <v>7</v>
      </c>
    </row>
    <row r="4" spans="5:25" x14ac:dyDescent="0.25">
      <c r="E4">
        <v>1</v>
      </c>
      <c r="F4" t="s">
        <v>2</v>
      </c>
      <c r="H4" t="s">
        <v>8</v>
      </c>
    </row>
    <row r="5" spans="5:25" x14ac:dyDescent="0.25">
      <c r="E5">
        <v>2</v>
      </c>
      <c r="F5" t="s">
        <v>3</v>
      </c>
      <c r="H5" t="s">
        <v>9</v>
      </c>
      <c r="O5">
        <v>1</v>
      </c>
      <c r="P5">
        <v>2</v>
      </c>
      <c r="Q5">
        <v>3</v>
      </c>
      <c r="S5">
        <v>4</v>
      </c>
      <c r="T5">
        <v>5</v>
      </c>
      <c r="U5">
        <v>6</v>
      </c>
      <c r="V5">
        <v>7</v>
      </c>
      <c r="W5">
        <v>8</v>
      </c>
      <c r="X5">
        <v>9</v>
      </c>
    </row>
    <row r="6" spans="5:25" ht="50.25" x14ac:dyDescent="0.25">
      <c r="E6">
        <v>3</v>
      </c>
      <c r="F6" t="s">
        <v>6</v>
      </c>
      <c r="H6" t="s">
        <v>10</v>
      </c>
      <c r="O6" s="2" t="s">
        <v>4</v>
      </c>
      <c r="P6" s="3" t="s">
        <v>14</v>
      </c>
      <c r="Q6" s="3" t="s">
        <v>15</v>
      </c>
      <c r="R6" s="4" t="s">
        <v>24</v>
      </c>
      <c r="S6" s="3" t="s">
        <v>16</v>
      </c>
      <c r="T6" s="3" t="s">
        <v>17</v>
      </c>
      <c r="U6" s="5" t="s">
        <v>23</v>
      </c>
      <c r="V6" s="3" t="s">
        <v>25</v>
      </c>
      <c r="W6" s="3" t="s">
        <v>27</v>
      </c>
      <c r="Y6" t="s">
        <v>26</v>
      </c>
    </row>
    <row r="7" spans="5:25" x14ac:dyDescent="0.25">
      <c r="E7">
        <v>4</v>
      </c>
      <c r="F7" t="s">
        <v>5</v>
      </c>
      <c r="H7" t="s">
        <v>11</v>
      </c>
      <c r="O7" s="1">
        <v>1</v>
      </c>
      <c r="P7" t="s">
        <v>18</v>
      </c>
      <c r="Q7">
        <v>42343</v>
      </c>
      <c r="S7">
        <v>3000</v>
      </c>
      <c r="T7">
        <f>Q7*S7</f>
        <v>127029000</v>
      </c>
      <c r="U7">
        <f>MAX(Q7,S7)</f>
        <v>42343</v>
      </c>
      <c r="V7">
        <f>SUM(MIN(Q7,S7))</f>
        <v>3000</v>
      </c>
      <c r="W7">
        <f>AVERAGE(Q7,S8)</f>
        <v>26671.5</v>
      </c>
    </row>
    <row r="8" spans="5:25" x14ac:dyDescent="0.25">
      <c r="H8" t="s">
        <v>12</v>
      </c>
      <c r="O8" s="1">
        <v>2</v>
      </c>
      <c r="P8" t="s">
        <v>19</v>
      </c>
      <c r="Q8">
        <v>23423</v>
      </c>
      <c r="S8">
        <v>11000</v>
      </c>
      <c r="T8">
        <f>Q8*S8</f>
        <v>257653000</v>
      </c>
      <c r="U8">
        <f>MAX(Q8,S8)</f>
        <v>23423</v>
      </c>
      <c r="V8">
        <f t="shared" ref="V8:V21" si="0">SUM(MIN(Q8,S8))</f>
        <v>11000</v>
      </c>
      <c r="W8">
        <f t="shared" ref="W8:W21" si="1">AVERAGE(Q8,S9)</f>
        <v>17211.5</v>
      </c>
    </row>
    <row r="9" spans="5:25" x14ac:dyDescent="0.25">
      <c r="H9" t="s">
        <v>13</v>
      </c>
      <c r="O9" s="1">
        <v>3</v>
      </c>
      <c r="P9" t="s">
        <v>20</v>
      </c>
      <c r="Q9">
        <v>325432</v>
      </c>
      <c r="S9">
        <v>11000</v>
      </c>
      <c r="T9">
        <f>Q9*S9</f>
        <v>3579752000</v>
      </c>
      <c r="U9">
        <f>MAX(Q9,S9)</f>
        <v>325432</v>
      </c>
      <c r="V9">
        <f t="shared" si="0"/>
        <v>11000</v>
      </c>
      <c r="W9">
        <f t="shared" si="1"/>
        <v>168216</v>
      </c>
    </row>
    <row r="10" spans="5:25" x14ac:dyDescent="0.25">
      <c r="O10" s="1">
        <v>4</v>
      </c>
      <c r="P10" t="s">
        <v>21</v>
      </c>
      <c r="Q10">
        <v>342355</v>
      </c>
      <c r="S10">
        <v>11000</v>
      </c>
      <c r="T10">
        <f>Q10*S10</f>
        <v>3765905000</v>
      </c>
      <c r="U10">
        <f>MAX(Q10,S10)</f>
        <v>342355</v>
      </c>
      <c r="V10">
        <f t="shared" si="0"/>
        <v>11000</v>
      </c>
      <c r="W10">
        <f t="shared" si="1"/>
        <v>176677.5</v>
      </c>
    </row>
    <row r="11" spans="5:25" x14ac:dyDescent="0.25">
      <c r="O11" s="1">
        <v>5</v>
      </c>
      <c r="P11" t="s">
        <v>18</v>
      </c>
      <c r="Q11">
        <v>433432</v>
      </c>
      <c r="S11">
        <v>11000</v>
      </c>
      <c r="T11">
        <f>Q11*S11</f>
        <v>4767752000</v>
      </c>
      <c r="U11">
        <f>MAX(Q11,S11)</f>
        <v>433432</v>
      </c>
      <c r="V11">
        <f t="shared" si="0"/>
        <v>11000</v>
      </c>
      <c r="W11">
        <f t="shared" si="1"/>
        <v>222216</v>
      </c>
    </row>
    <row r="12" spans="5:25" x14ac:dyDescent="0.25">
      <c r="O12" s="1">
        <v>6</v>
      </c>
      <c r="P12" t="s">
        <v>19</v>
      </c>
      <c r="Q12">
        <v>324355</v>
      </c>
      <c r="S12">
        <v>11000</v>
      </c>
      <c r="T12">
        <f>Q12*S12</f>
        <v>3567905000</v>
      </c>
      <c r="U12">
        <f>MAX(Q12,S12)</f>
        <v>324355</v>
      </c>
      <c r="V12">
        <f t="shared" si="0"/>
        <v>11000</v>
      </c>
      <c r="W12">
        <f t="shared" si="1"/>
        <v>167677.5</v>
      </c>
    </row>
    <row r="13" spans="5:25" x14ac:dyDescent="0.25">
      <c r="O13" s="1">
        <v>7</v>
      </c>
      <c r="P13" t="s">
        <v>20</v>
      </c>
      <c r="Q13">
        <v>44322</v>
      </c>
      <c r="S13">
        <v>11000</v>
      </c>
      <c r="T13">
        <f>Q13*S13</f>
        <v>487542000</v>
      </c>
      <c r="U13">
        <f>MAX(Q13,S13)</f>
        <v>44322</v>
      </c>
      <c r="V13">
        <f t="shared" si="0"/>
        <v>11000</v>
      </c>
      <c r="W13">
        <f t="shared" si="1"/>
        <v>27661</v>
      </c>
    </row>
    <row r="14" spans="5:25" x14ac:dyDescent="0.25">
      <c r="O14" s="1">
        <v>8</v>
      </c>
      <c r="P14" t="s">
        <v>21</v>
      </c>
      <c r="Q14">
        <v>234565</v>
      </c>
      <c r="S14">
        <v>11000</v>
      </c>
      <c r="T14">
        <f>Q14*S14</f>
        <v>2580215000</v>
      </c>
      <c r="U14">
        <f>MAX(Q14,S14)</f>
        <v>234565</v>
      </c>
      <c r="V14">
        <f t="shared" si="0"/>
        <v>11000</v>
      </c>
      <c r="W14">
        <f t="shared" si="1"/>
        <v>122782.5</v>
      </c>
    </row>
    <row r="15" spans="5:25" x14ac:dyDescent="0.25">
      <c r="O15" s="1">
        <v>9</v>
      </c>
      <c r="P15" t="s">
        <v>18</v>
      </c>
      <c r="Q15">
        <v>324453</v>
      </c>
      <c r="S15">
        <v>11000</v>
      </c>
      <c r="T15">
        <f>Q15*S15</f>
        <v>3568983000</v>
      </c>
      <c r="U15">
        <f>MAX(Q15,S15)</f>
        <v>324453</v>
      </c>
      <c r="V15">
        <f t="shared" si="0"/>
        <v>11000</v>
      </c>
      <c r="W15">
        <f t="shared" si="1"/>
        <v>167726.5</v>
      </c>
    </row>
    <row r="16" spans="5:25" x14ac:dyDescent="0.25">
      <c r="O16" s="1">
        <v>10</v>
      </c>
      <c r="P16" t="s">
        <v>19</v>
      </c>
      <c r="Q16">
        <v>53235</v>
      </c>
      <c r="S16">
        <v>11000</v>
      </c>
      <c r="T16">
        <f>Q16*S16</f>
        <v>585585000</v>
      </c>
      <c r="U16">
        <f>MAX(Q16,S16)</f>
        <v>53235</v>
      </c>
      <c r="V16">
        <f t="shared" si="0"/>
        <v>11000</v>
      </c>
      <c r="W16">
        <f t="shared" si="1"/>
        <v>32117.5</v>
      </c>
    </row>
    <row r="17" spans="15:23" x14ac:dyDescent="0.25">
      <c r="O17" s="1">
        <v>11</v>
      </c>
      <c r="P17" t="s">
        <v>20</v>
      </c>
      <c r="Q17">
        <v>543532</v>
      </c>
      <c r="S17">
        <v>11000</v>
      </c>
      <c r="T17">
        <f>Q17*S17</f>
        <v>5978852000</v>
      </c>
      <c r="U17">
        <f>MAX(Q17,S17)</f>
        <v>543532</v>
      </c>
      <c r="V17">
        <f t="shared" si="0"/>
        <v>11000</v>
      </c>
      <c r="W17">
        <f t="shared" si="1"/>
        <v>277266</v>
      </c>
    </row>
    <row r="18" spans="15:23" x14ac:dyDescent="0.25">
      <c r="O18" s="1">
        <v>12</v>
      </c>
      <c r="P18" t="s">
        <v>21</v>
      </c>
      <c r="Q18">
        <v>324552</v>
      </c>
      <c r="S18">
        <v>11000</v>
      </c>
      <c r="T18">
        <f>Q18*S18</f>
        <v>3570072000</v>
      </c>
      <c r="U18">
        <f>MAX(Q18,S18)</f>
        <v>324552</v>
      </c>
      <c r="V18">
        <f t="shared" si="0"/>
        <v>11000</v>
      </c>
      <c r="W18">
        <f t="shared" si="1"/>
        <v>167776</v>
      </c>
    </row>
    <row r="19" spans="15:23" x14ac:dyDescent="0.25">
      <c r="O19" s="1">
        <v>13</v>
      </c>
      <c r="P19" t="s">
        <v>18</v>
      </c>
      <c r="Q19">
        <v>52324</v>
      </c>
      <c r="S19">
        <v>11000</v>
      </c>
      <c r="T19">
        <f>Q19*S19</f>
        <v>575564000</v>
      </c>
      <c r="U19">
        <f>MAX(Q19,S19)</f>
        <v>52324</v>
      </c>
      <c r="V19">
        <f t="shared" si="0"/>
        <v>11000</v>
      </c>
      <c r="W19">
        <f t="shared" si="1"/>
        <v>31662</v>
      </c>
    </row>
    <row r="20" spans="15:23" x14ac:dyDescent="0.25">
      <c r="O20" s="1">
        <v>14</v>
      </c>
      <c r="P20" t="s">
        <v>19</v>
      </c>
      <c r="Q20">
        <v>342432</v>
      </c>
      <c r="S20">
        <v>11000</v>
      </c>
      <c r="T20">
        <f>Q20*S20</f>
        <v>3766752000</v>
      </c>
      <c r="U20">
        <f>MAX(Q20,S20)</f>
        <v>342432</v>
      </c>
      <c r="V20">
        <f t="shared" si="0"/>
        <v>11000</v>
      </c>
      <c r="W20">
        <f t="shared" si="1"/>
        <v>176716</v>
      </c>
    </row>
    <row r="21" spans="15:23" x14ac:dyDescent="0.25">
      <c r="O21" s="1">
        <v>15</v>
      </c>
      <c r="P21" t="s">
        <v>22</v>
      </c>
      <c r="Q21">
        <v>343254</v>
      </c>
      <c r="S21">
        <v>11000</v>
      </c>
      <c r="T21">
        <f>Q21*S21</f>
        <v>3775794000</v>
      </c>
      <c r="U21">
        <f>MAX(Q21,S21)</f>
        <v>343254</v>
      </c>
      <c r="V21">
        <f t="shared" si="0"/>
        <v>11000</v>
      </c>
      <c r="W21">
        <f t="shared" si="1"/>
        <v>250127</v>
      </c>
    </row>
    <row r="22" spans="15:23" x14ac:dyDescent="0.25">
      <c r="S22">
        <f>SUM(S7:S21)</f>
        <v>157000</v>
      </c>
    </row>
  </sheetData>
  <phoneticPr fontId="2" type="noConversion"/>
  <conditionalFormatting sqref="O6:V2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{2F6262C5-5238-4F37-B82D-B25D73500DBC}</x14:id>
        </ext>
      </extLst>
    </cfRule>
  </conditionalFormatting>
  <conditionalFormatting sqref="W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{2E631110-973C-432E-A78A-07ECC1FDE6DA}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6100A7E-4983-4B2C-96A2-FD3B1C0A23B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O7:V21</xm:sqref>
        </x14:conditionalFormatting>
        <x14:conditionalFormatting xmlns:xm="http://schemas.microsoft.com/office/excel/2006/main">
          <x14:cfRule type="dataBar" id="{2F6262C5-5238-4F37-B82D-B25D73500D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O6:V21</xm:sqref>
        </x14:conditionalFormatting>
        <x14:conditionalFormatting xmlns:xm="http://schemas.microsoft.com/office/excel/2006/main">
          <x14:cfRule type="dataBar" id="{2E631110-973C-432E-A78A-07ECC1FDE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2026-01-17T04:25:26Z</dcterms:modified>
</cp:coreProperties>
</file>